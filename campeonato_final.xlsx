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felipe.delgado\Documents\Projetos\testes\CartolaFC\"/>
    </mc:Choice>
  </mc:AlternateContent>
  <xr:revisionPtr revIDLastSave="0" documentId="8_{17260199-51E9-4869-BAFC-B8102158F7FF}" xr6:coauthVersionLast="47" xr6:coauthVersionMax="47" xr10:uidLastSave="{00000000-0000-0000-0000-000000000000}"/>
  <bookViews>
    <workbookView xWindow="20370" yWindow="-120" windowWidth="29040" windowHeight="15840" activeTab="1" xr2:uid="{00000000-000D-0000-FFFF-FFFF00000000}"/>
  </bookViews>
  <sheets>
    <sheet name="Campeoes" sheetId="1" r:id="rId1"/>
    <sheet name="Vitorias" sheetId="2" r:id="rId2"/>
    <sheet name="Rodadas" sheetId="3" r:id="rId3"/>
    <sheet name="3º" sheetId="4" r:id="rId4"/>
    <sheet name="2º" sheetId="5" r:id="rId5"/>
    <sheet name="1º" sheetId="6" r:id="rId6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" l="1"/>
  <c r="C3" i="2"/>
  <c r="C4" i="2"/>
  <c r="C5" i="2"/>
  <c r="C6" i="2"/>
  <c r="C7" i="2"/>
  <c r="C8" i="2"/>
  <c r="G7" i="2"/>
  <c r="D8" i="2"/>
  <c r="G8" i="2" s="1"/>
  <c r="D7" i="2"/>
  <c r="D6" i="2"/>
  <c r="D5" i="2"/>
  <c r="G5" i="2" s="1"/>
  <c r="D4" i="2"/>
  <c r="G4" i="2" s="1"/>
  <c r="E15" i="2" s="1"/>
  <c r="D2" i="2"/>
  <c r="D3" i="2"/>
  <c r="G3" i="2" s="1"/>
  <c r="E6" i="2"/>
  <c r="G6" i="2" s="1"/>
  <c r="E2" i="2"/>
  <c r="G2" i="2" s="1"/>
  <c r="F15" i="2" l="1"/>
</calcChain>
</file>

<file path=xl/sharedStrings.xml><?xml version="1.0" encoding="utf-8"?>
<sst xmlns="http://schemas.openxmlformats.org/spreadsheetml/2006/main" count="104" uniqueCount="23">
  <si>
    <t>Rodada</t>
  </si>
  <si>
    <t>Time</t>
  </si>
  <si>
    <t>Pontuacao</t>
  </si>
  <si>
    <t>Retorno</t>
  </si>
  <si>
    <t>LUISÃO S.C.</t>
  </si>
  <si>
    <t xml:space="preserve">Esporte Clube Beça Calabreso </t>
  </si>
  <si>
    <t>Gotelip</t>
  </si>
  <si>
    <t>florminenses F.C</t>
  </si>
  <si>
    <t>Kruktonyta FC</t>
  </si>
  <si>
    <t>Piratas Do Pepe Louco</t>
  </si>
  <si>
    <t>APENAS JF</t>
  </si>
  <si>
    <t>Vitorias</t>
  </si>
  <si>
    <t>Lucro Atual</t>
  </si>
  <si>
    <t>Lucro Atual Final</t>
  </si>
  <si>
    <t>Rodadas Para Lucro</t>
  </si>
  <si>
    <t>Num Rodada</t>
  </si>
  <si>
    <t>Lucro</t>
  </si>
  <si>
    <t>Coluna1</t>
  </si>
  <si>
    <t>Pagar</t>
  </si>
  <si>
    <t>Saldo</t>
  </si>
  <si>
    <t>Receber Rodadas</t>
  </si>
  <si>
    <t>Receber Ranking</t>
  </si>
  <si>
    <t>Total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</si>
</sst>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R\$\ #,##0"/>
    <numFmt numFmtId="166" formatCode="&quot;R$&quot;\ #,##0.00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FF0000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9999"/>
        <bgColor rgb="FFFF9999"/>
      </patternFill>
    </fill>
    <fill>
      <patternFill patternType="solid">
        <fgColor rgb="FF99FF99"/>
        <bgColor rgb="FF99FF99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  <xf numFmtId="164" fontId="0" fillId="3" borderId="0" xfId="0" applyNumberFormat="1" applyFill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6" fontId="0" fillId="0" borderId="0" xfId="0" applyNumberFormat="1"/>
    <xf numFmtId="0" fontId="1" fillId="4" borderId="1" xfId="0" applyFont="1" applyFill="1" applyBorder="1" applyAlignment="1">
      <alignment horizontal="center" vertical="center"/>
    </xf>
    <xf numFmtId="166" fontId="3" fillId="4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6">
    <dxf>
      <numFmt numFmtId="166" formatCode="&quot;R$&quot;\ #,##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ampeoes_Table" displayName="Campeoes_Table" ref="A1:D39">
  <autoFilter ref="A1:D39" xr:uid="{00000000-0009-0000-0100-000001000000}"/>
  <tableColumns count="4">
    <tableColumn id="1" xr3:uid="{00000000-0010-0000-0000-000001000000}" name="Rodada"/>
    <tableColumn id="2" xr3:uid="{00000000-0010-0000-0000-000002000000}" name="Time"/>
    <tableColumn id="3" xr3:uid="{00000000-0010-0000-0000-000003000000}" name="Pontuacao"/>
    <tableColumn id="4" xr3:uid="{00000000-0010-0000-0000-000004000000}" name="Retorno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Vitorias_Table" displayName="Vitorias_Table" ref="A1:K8">
  <autoFilter ref="A1:K8" xr:uid="{00000000-0009-0000-0100-000002000000}"/>
  <tableColumns count="11">
    <tableColumn id="1" xr3:uid="{00000000-0010-0000-0100-000001000000}" name="Time"/>
    <tableColumn id="2" xr3:uid="{00000000-0010-0000-0100-000002000000}" name="Vitorias" dataDxfId="1"/>
    <tableColumn id="11" xr3:uid="{A964417C-65B5-42B6-AD50-039D58136272}" name="Total Final" dataDxfId="0"/>
    <tableColumn id="7" xr3:uid="{72AB3AE4-D8BB-4CDC-A6B6-2BE56DB9CB84}" name="Pagar" dataDxfId="2">
      <calculatedColumnFormula>12+5*6</calculatedColumnFormula>
    </tableColumn>
    <tableColumn id="8" xr3:uid="{8C14C644-5975-4086-AD62-EDAAEE69CBF3}" name="Receber Rodadas" dataDxfId="5"/>
    <tableColumn id="10" xr3:uid="{1F9C08DA-B00A-4138-A879-477D8CAFDFA7}" name="Receber Ranking" dataDxfId="3"/>
    <tableColumn id="9" xr3:uid="{2665770F-5C5D-4409-B2BF-3C8B8ADBC19C}" name="Saldo" dataDxfId="4"/>
    <tableColumn id="3" xr3:uid="{00000000-0010-0000-0100-000003000000}" name="Retorno"/>
    <tableColumn id="4" xr3:uid="{00000000-0010-0000-0100-000004000000}" name="Lucro Atual"/>
    <tableColumn id="5" xr3:uid="{00000000-0010-0000-0100-000005000000}" name="Lucro Atual Final"/>
    <tableColumn id="6" xr3:uid="{00000000-0010-0000-0100-000006000000}" name="Rodadas Para Lucro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Rodadas_Table" displayName="Rodadas_Table" ref="A1:I3">
  <autoFilter ref="A1:I3" xr:uid="{00000000-0009-0000-0100-000003000000}"/>
  <tableColumns count="9">
    <tableColumn id="1" xr3:uid="{00000000-0010-0000-0200-000001000000}" name="Coluna1"/>
    <tableColumn id="2" xr3:uid="{00000000-0010-0000-0200-000002000000}" name="Piratas Do Pepe Louco"/>
    <tableColumn id="3" xr3:uid="{00000000-0010-0000-0200-000003000000}" name="Esporte Clube Beça Calabreso "/>
    <tableColumn id="4" xr3:uid="{00000000-0010-0000-0200-000004000000}" name="Kruktonyta FC"/>
    <tableColumn id="5" xr3:uid="{00000000-0010-0000-0200-000005000000}" name="APENAS JF"/>
    <tableColumn id="6" xr3:uid="{00000000-0010-0000-0200-000006000000}" name="LUISÃO S.C."/>
    <tableColumn id="7" xr3:uid="{00000000-0010-0000-0200-000007000000}" name="florminenses F.C"/>
    <tableColumn id="8" xr3:uid="{00000000-0010-0000-0200-000008000000}" name="Gotelip"/>
    <tableColumn id="9" xr3:uid="{00000000-0010-0000-0200-000009000000}" name="Num Rodada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3º_Table" displayName="_3º_Table" ref="A1:I3">
  <autoFilter ref="A1:I3" xr:uid="{00000000-0009-0000-0100-000004000000}"/>
  <tableColumns count="9">
    <tableColumn id="1" xr3:uid="{00000000-0010-0000-0300-000001000000}" name="Coluna1"/>
    <tableColumn id="2" xr3:uid="{00000000-0010-0000-0300-000002000000}" name="Piratas Do Pepe Louco"/>
    <tableColumn id="3" xr3:uid="{00000000-0010-0000-0300-000003000000}" name="Esporte Clube Beça Calabreso "/>
    <tableColumn id="4" xr3:uid="{00000000-0010-0000-0300-000004000000}" name="Kruktonyta FC"/>
    <tableColumn id="5" xr3:uid="{00000000-0010-0000-0300-000005000000}" name="APENAS JF"/>
    <tableColumn id="6" xr3:uid="{00000000-0010-0000-0300-000006000000}" name="LUISÃO S.C."/>
    <tableColumn id="7" xr3:uid="{00000000-0010-0000-0300-000007000000}" name="florminenses F.C"/>
    <tableColumn id="8" xr3:uid="{00000000-0010-0000-0300-000008000000}" name="Gotelip"/>
    <tableColumn id="9" xr3:uid="{00000000-0010-0000-0300-000009000000}" name="Num Rodada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2º_Table" displayName="_2º_Table" ref="A1:I3">
  <autoFilter ref="A1:I3" xr:uid="{00000000-0009-0000-0100-000005000000}"/>
  <tableColumns count="9">
    <tableColumn id="1" xr3:uid="{00000000-0010-0000-0400-000001000000}" name="Coluna1"/>
    <tableColumn id="2" xr3:uid="{00000000-0010-0000-0400-000002000000}" name="Piratas Do Pepe Louco"/>
    <tableColumn id="3" xr3:uid="{00000000-0010-0000-0400-000003000000}" name="Esporte Clube Beça Calabreso "/>
    <tableColumn id="4" xr3:uid="{00000000-0010-0000-0400-000004000000}" name="Kruktonyta FC"/>
    <tableColumn id="5" xr3:uid="{00000000-0010-0000-0400-000005000000}" name="APENAS JF"/>
    <tableColumn id="6" xr3:uid="{00000000-0010-0000-0400-000006000000}" name="LUISÃO S.C."/>
    <tableColumn id="7" xr3:uid="{00000000-0010-0000-0400-000007000000}" name="florminenses F.C"/>
    <tableColumn id="8" xr3:uid="{00000000-0010-0000-0400-000008000000}" name="Gotelip"/>
    <tableColumn id="9" xr3:uid="{00000000-0010-0000-0400-000009000000}" name="Num Rodada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1º_Table" displayName="_1º_Table" ref="A1:I3">
  <autoFilter ref="A1:I3" xr:uid="{00000000-0009-0000-0100-000006000000}"/>
  <tableColumns count="9">
    <tableColumn id="1" xr3:uid="{00000000-0010-0000-0500-000001000000}" name="Coluna1"/>
    <tableColumn id="2" xr3:uid="{00000000-0010-0000-0500-000002000000}" name="Piratas Do Pepe Louco"/>
    <tableColumn id="3" xr3:uid="{00000000-0010-0000-0500-000003000000}" name="Esporte Clube Beça Calabreso "/>
    <tableColumn id="4" xr3:uid="{00000000-0010-0000-0500-000004000000}" name="Kruktonyta FC"/>
    <tableColumn id="5" xr3:uid="{00000000-0010-0000-0500-000005000000}" name="APENAS JF"/>
    <tableColumn id="6" xr3:uid="{00000000-0010-0000-0500-000006000000}" name="LUISÃO S.C."/>
    <tableColumn id="7" xr3:uid="{00000000-0010-0000-0500-000007000000}" name="florminenses F.C"/>
    <tableColumn id="8" xr3:uid="{00000000-0010-0000-0500-000008000000}" name="Gotelip"/>
    <tableColumn id="9" xr3:uid="{00000000-0010-0000-0500-000009000000}" name="Num Rodada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9"/>
  <sheetViews>
    <sheetView workbookViewId="0">
      <selection activeCell="A34" sqref="A10:C34"/>
    </sheetView>
  </sheetViews>
  <sheetFormatPr defaultRowHeight="15" x14ac:dyDescent="0.25"/>
  <cols>
    <col min="1" max="1" width="9.5703125" customWidth="1"/>
    <col min="2" max="2" width="37.140625" customWidth="1"/>
    <col min="3" max="3" width="20.42578125" customWidth="1"/>
    <col min="4" max="4" width="10.855468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1</v>
      </c>
      <c r="B2" s="2" t="s">
        <v>4</v>
      </c>
      <c r="C2" s="2">
        <v>82.52978515625</v>
      </c>
      <c r="D2" s="3">
        <v>25</v>
      </c>
    </row>
    <row r="3" spans="1:4" x14ac:dyDescent="0.25">
      <c r="A3" s="2">
        <v>2</v>
      </c>
      <c r="B3" s="2" t="s">
        <v>5</v>
      </c>
      <c r="C3" s="2">
        <v>91.89013671875</v>
      </c>
      <c r="D3" s="3">
        <v>25</v>
      </c>
    </row>
    <row r="4" spans="1:4" x14ac:dyDescent="0.25">
      <c r="A4" s="2">
        <v>3</v>
      </c>
      <c r="B4" s="2" t="s">
        <v>5</v>
      </c>
      <c r="C4" s="2">
        <v>81.2998046875</v>
      </c>
      <c r="D4" s="3">
        <v>27</v>
      </c>
    </row>
    <row r="5" spans="1:4" x14ac:dyDescent="0.25">
      <c r="A5" s="2">
        <v>4</v>
      </c>
      <c r="B5" s="2" t="s">
        <v>6</v>
      </c>
      <c r="C5" s="2">
        <v>126.97998046875</v>
      </c>
      <c r="D5" s="3">
        <v>27</v>
      </c>
    </row>
    <row r="6" spans="1:4" x14ac:dyDescent="0.25">
      <c r="A6" s="2">
        <v>5</v>
      </c>
      <c r="B6" s="2" t="s">
        <v>7</v>
      </c>
      <c r="C6" s="2">
        <v>96.97998046875</v>
      </c>
      <c r="D6" s="3">
        <v>27</v>
      </c>
    </row>
    <row r="7" spans="1:4" x14ac:dyDescent="0.25">
      <c r="A7" s="2">
        <v>6</v>
      </c>
      <c r="B7" s="2" t="s">
        <v>5</v>
      </c>
      <c r="C7" s="2">
        <v>122.9501953125</v>
      </c>
      <c r="D7" s="3">
        <v>27</v>
      </c>
    </row>
    <row r="8" spans="1:4" x14ac:dyDescent="0.25">
      <c r="A8" s="2">
        <v>7</v>
      </c>
      <c r="B8" s="2" t="s">
        <v>8</v>
      </c>
      <c r="C8" s="2">
        <v>107.64013671875</v>
      </c>
      <c r="D8" s="3">
        <v>27</v>
      </c>
    </row>
    <row r="9" spans="1:4" x14ac:dyDescent="0.25">
      <c r="A9" s="2">
        <v>8</v>
      </c>
      <c r="B9" s="2" t="s">
        <v>9</v>
      </c>
      <c r="C9" s="2">
        <v>150.349609375</v>
      </c>
      <c r="D9" s="3">
        <v>27</v>
      </c>
    </row>
    <row r="10" spans="1:4" x14ac:dyDescent="0.25">
      <c r="A10" s="2">
        <v>9</v>
      </c>
      <c r="B10" s="2" t="s">
        <v>10</v>
      </c>
      <c r="C10" s="2">
        <v>87.89990234375</v>
      </c>
      <c r="D10" s="3">
        <v>27</v>
      </c>
    </row>
    <row r="11" spans="1:4" x14ac:dyDescent="0.25">
      <c r="A11" s="2">
        <v>10</v>
      </c>
      <c r="B11" s="2" t="s">
        <v>8</v>
      </c>
      <c r="C11" s="2">
        <v>82.47021484375</v>
      </c>
      <c r="D11" s="3">
        <v>27</v>
      </c>
    </row>
    <row r="12" spans="1:4" x14ac:dyDescent="0.25">
      <c r="A12" s="2">
        <v>11</v>
      </c>
      <c r="B12" s="2" t="s">
        <v>7</v>
      </c>
      <c r="C12" s="2">
        <v>130.5703125</v>
      </c>
      <c r="D12" s="3">
        <v>27</v>
      </c>
    </row>
    <row r="13" spans="1:4" x14ac:dyDescent="0.25">
      <c r="A13" s="2">
        <v>12</v>
      </c>
      <c r="B13" s="2" t="s">
        <v>8</v>
      </c>
      <c r="C13" s="2">
        <v>79.85986328125</v>
      </c>
      <c r="D13" s="3">
        <v>27</v>
      </c>
    </row>
    <row r="14" spans="1:4" x14ac:dyDescent="0.25">
      <c r="A14" s="2">
        <v>13</v>
      </c>
      <c r="B14" s="2" t="s">
        <v>5</v>
      </c>
      <c r="C14" s="2">
        <v>128.6396484375</v>
      </c>
      <c r="D14" s="3">
        <v>27</v>
      </c>
    </row>
    <row r="15" spans="1:4" x14ac:dyDescent="0.25">
      <c r="A15" s="2">
        <v>14</v>
      </c>
      <c r="B15" s="2" t="s">
        <v>8</v>
      </c>
      <c r="C15" s="2">
        <v>85.64990234375</v>
      </c>
      <c r="D15" s="3">
        <v>27</v>
      </c>
    </row>
    <row r="16" spans="1:4" x14ac:dyDescent="0.25">
      <c r="A16" s="2">
        <v>15</v>
      </c>
      <c r="B16" s="2" t="s">
        <v>10</v>
      </c>
      <c r="C16" s="2">
        <v>114.22021484375</v>
      </c>
      <c r="D16" s="3">
        <v>27</v>
      </c>
    </row>
    <row r="17" spans="1:4" x14ac:dyDescent="0.25">
      <c r="A17" s="2">
        <v>16</v>
      </c>
      <c r="B17" s="2" t="s">
        <v>8</v>
      </c>
      <c r="C17" s="2">
        <v>91.10009765625</v>
      </c>
      <c r="D17" s="3">
        <v>27</v>
      </c>
    </row>
    <row r="18" spans="1:4" x14ac:dyDescent="0.25">
      <c r="A18" s="2">
        <v>17</v>
      </c>
      <c r="B18" s="2" t="s">
        <v>4</v>
      </c>
      <c r="C18" s="2">
        <v>85.7001953125</v>
      </c>
      <c r="D18" s="3">
        <v>27</v>
      </c>
    </row>
    <row r="19" spans="1:4" x14ac:dyDescent="0.25">
      <c r="A19" s="2">
        <v>18</v>
      </c>
      <c r="B19" s="2" t="s">
        <v>10</v>
      </c>
      <c r="C19" s="2">
        <v>109.39990234375</v>
      </c>
      <c r="D19" s="3">
        <v>27</v>
      </c>
    </row>
    <row r="20" spans="1:4" x14ac:dyDescent="0.25">
      <c r="A20" s="2">
        <v>19</v>
      </c>
      <c r="B20" s="2" t="s">
        <v>7</v>
      </c>
      <c r="C20" s="2">
        <v>91.2998046875</v>
      </c>
      <c r="D20" s="3">
        <v>27</v>
      </c>
    </row>
    <row r="21" spans="1:4" x14ac:dyDescent="0.25">
      <c r="A21" s="2">
        <v>20</v>
      </c>
      <c r="B21" s="2" t="s">
        <v>9</v>
      </c>
      <c r="C21" s="2">
        <v>98.56005859375</v>
      </c>
      <c r="D21" s="3">
        <v>27</v>
      </c>
    </row>
    <row r="22" spans="1:4" x14ac:dyDescent="0.25">
      <c r="A22" s="2">
        <v>21</v>
      </c>
      <c r="B22" s="2" t="s">
        <v>9</v>
      </c>
      <c r="C22" s="2">
        <v>203.16015625</v>
      </c>
      <c r="D22" s="3">
        <v>27</v>
      </c>
    </row>
    <row r="23" spans="1:4" x14ac:dyDescent="0.25">
      <c r="A23" s="2">
        <v>22</v>
      </c>
      <c r="B23" s="2" t="s">
        <v>8</v>
      </c>
      <c r="C23" s="2">
        <v>88.08984375</v>
      </c>
      <c r="D23" s="3">
        <v>27</v>
      </c>
    </row>
    <row r="24" spans="1:4" x14ac:dyDescent="0.25">
      <c r="A24" s="2">
        <v>23</v>
      </c>
      <c r="B24" s="2" t="s">
        <v>5</v>
      </c>
      <c r="C24" s="2">
        <v>102.39990234375</v>
      </c>
      <c r="D24" s="3">
        <v>27</v>
      </c>
    </row>
    <row r="25" spans="1:4" x14ac:dyDescent="0.25">
      <c r="A25" s="2">
        <v>24</v>
      </c>
      <c r="B25" s="2" t="s">
        <v>9</v>
      </c>
      <c r="C25" s="2">
        <v>72.27978515625</v>
      </c>
      <c r="D25" s="3">
        <v>27</v>
      </c>
    </row>
    <row r="26" spans="1:4" x14ac:dyDescent="0.25">
      <c r="A26" s="2">
        <v>25</v>
      </c>
      <c r="B26" s="2" t="s">
        <v>9</v>
      </c>
      <c r="C26" s="2">
        <v>87.9501953125</v>
      </c>
      <c r="D26" s="3">
        <v>27</v>
      </c>
    </row>
    <row r="27" spans="1:4" x14ac:dyDescent="0.25">
      <c r="A27" s="2">
        <v>26</v>
      </c>
      <c r="B27" s="2" t="s">
        <v>7</v>
      </c>
      <c r="C27" s="2">
        <v>99.33984375</v>
      </c>
      <c r="D27" s="3">
        <v>27</v>
      </c>
    </row>
    <row r="28" spans="1:4" x14ac:dyDescent="0.25">
      <c r="A28" s="2">
        <v>27</v>
      </c>
      <c r="B28" s="2" t="s">
        <v>4</v>
      </c>
      <c r="C28" s="2">
        <v>116.06982421875</v>
      </c>
      <c r="D28" s="3">
        <v>27</v>
      </c>
    </row>
    <row r="29" spans="1:4" x14ac:dyDescent="0.25">
      <c r="A29" s="2">
        <v>28</v>
      </c>
      <c r="B29" s="2" t="s">
        <v>9</v>
      </c>
      <c r="C29" s="2">
        <v>150.5400390625</v>
      </c>
      <c r="D29" s="3">
        <v>27</v>
      </c>
    </row>
    <row r="30" spans="1:4" x14ac:dyDescent="0.25">
      <c r="A30" s="2">
        <v>29</v>
      </c>
      <c r="B30" s="2" t="s">
        <v>5</v>
      </c>
      <c r="C30" s="2">
        <v>123.1298828125</v>
      </c>
      <c r="D30" s="3">
        <v>27</v>
      </c>
    </row>
    <row r="31" spans="1:4" x14ac:dyDescent="0.25">
      <c r="A31" s="2">
        <v>30</v>
      </c>
      <c r="B31" s="2" t="s">
        <v>10</v>
      </c>
      <c r="C31" s="2">
        <v>57.75</v>
      </c>
      <c r="D31" s="3">
        <v>27</v>
      </c>
    </row>
    <row r="32" spans="1:4" x14ac:dyDescent="0.25">
      <c r="A32" s="2">
        <v>31</v>
      </c>
      <c r="B32" s="2" t="s">
        <v>10</v>
      </c>
      <c r="C32" s="2">
        <v>111.97021484375</v>
      </c>
      <c r="D32" s="3">
        <v>27</v>
      </c>
    </row>
    <row r="33" spans="1:4" x14ac:dyDescent="0.25">
      <c r="A33" s="2">
        <v>32</v>
      </c>
      <c r="B33" s="2" t="s">
        <v>5</v>
      </c>
      <c r="C33" s="2">
        <v>120.83984375</v>
      </c>
      <c r="D33" s="3">
        <v>27</v>
      </c>
    </row>
    <row r="34" spans="1:4" x14ac:dyDescent="0.25">
      <c r="A34" s="2">
        <v>33</v>
      </c>
      <c r="B34" s="7" t="s">
        <v>10</v>
      </c>
      <c r="C34" s="2">
        <v>75.6201171875</v>
      </c>
      <c r="D34" s="3">
        <v>27</v>
      </c>
    </row>
    <row r="35" spans="1:4" x14ac:dyDescent="0.25">
      <c r="A35" s="2">
        <v>34</v>
      </c>
      <c r="B35" s="8" t="s">
        <v>9</v>
      </c>
      <c r="C35" s="2">
        <v>108.669921875</v>
      </c>
      <c r="D35" s="3">
        <v>27</v>
      </c>
    </row>
    <row r="36" spans="1:4" x14ac:dyDescent="0.25">
      <c r="A36" s="2">
        <v>35</v>
      </c>
      <c r="B36" s="8" t="s">
        <v>4</v>
      </c>
      <c r="C36" s="2">
        <v>136.7802734375</v>
      </c>
      <c r="D36" s="3">
        <v>27</v>
      </c>
    </row>
    <row r="37" spans="1:4" x14ac:dyDescent="0.25">
      <c r="A37" s="2">
        <v>36</v>
      </c>
      <c r="B37" s="8" t="s">
        <v>9</v>
      </c>
      <c r="C37" s="2">
        <v>110.7001953125</v>
      </c>
      <c r="D37" s="3">
        <v>27</v>
      </c>
    </row>
    <row r="38" spans="1:4" x14ac:dyDescent="0.25">
      <c r="A38" s="2">
        <v>37</v>
      </c>
      <c r="B38" s="8" t="s">
        <v>4</v>
      </c>
      <c r="C38" s="2">
        <v>121.89990234375</v>
      </c>
      <c r="D38" s="3">
        <v>27</v>
      </c>
    </row>
    <row r="39" spans="1:4" x14ac:dyDescent="0.25">
      <c r="A39" s="2">
        <v>38</v>
      </c>
      <c r="B39" s="8" t="s">
        <v>9</v>
      </c>
    </row>
  </sheetData>
  <pageMargins left="0.75" right="0.75" top="1" bottom="1" header="0.5" footer="0.5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5"/>
  <sheetViews>
    <sheetView tabSelected="1" workbookViewId="0">
      <selection activeCell="C18" sqref="C18"/>
    </sheetView>
  </sheetViews>
  <sheetFormatPr defaultRowHeight="15" x14ac:dyDescent="0.25"/>
  <cols>
    <col min="1" max="2" width="37.140625" customWidth="1"/>
    <col min="3" max="3" width="37.140625" style="10" customWidth="1"/>
    <col min="4" max="6" width="37.140625" customWidth="1"/>
    <col min="7" max="7" width="12" customWidth="1"/>
    <col min="8" max="8" width="10.85546875" customWidth="1"/>
    <col min="9" max="9" width="15.5703125" customWidth="1"/>
    <col min="10" max="10" width="22.85546875" customWidth="1"/>
    <col min="11" max="11" width="24" customWidth="1"/>
  </cols>
  <sheetData>
    <row r="1" spans="1:11" x14ac:dyDescent="0.25">
      <c r="A1" s="11" t="s">
        <v>1</v>
      </c>
      <c r="B1" s="11" t="s">
        <v>11</v>
      </c>
      <c r="C1" s="12" t="s">
        <v>22</v>
      </c>
      <c r="D1" s="6" t="s">
        <v>18</v>
      </c>
      <c r="E1" s="6" t="s">
        <v>20</v>
      </c>
      <c r="F1" s="6" t="s">
        <v>21</v>
      </c>
      <c r="G1" s="6" t="s">
        <v>19</v>
      </c>
      <c r="H1" s="1" t="s">
        <v>3</v>
      </c>
      <c r="I1" s="1" t="s">
        <v>12</v>
      </c>
      <c r="J1" s="1" t="s">
        <v>13</v>
      </c>
      <c r="K1" s="1" t="s">
        <v>14</v>
      </c>
    </row>
    <row r="2" spans="1:11" x14ac:dyDescent="0.25">
      <c r="A2" s="2" t="s">
        <v>9</v>
      </c>
      <c r="B2" s="2">
        <v>9</v>
      </c>
      <c r="C2" s="9">
        <f>_1º_Table[[#This Row],[Piratas Do Pepe Louco]]</f>
        <v>320</v>
      </c>
      <c r="D2" s="2">
        <f t="shared" ref="D2" si="0">12+5*6</f>
        <v>42</v>
      </c>
      <c r="E2" s="2">
        <f>3*27</f>
        <v>81</v>
      </c>
      <c r="F2" s="2">
        <v>330</v>
      </c>
      <c r="G2" s="2">
        <f>Vitorias_Table[[#This Row],[Receber Ranking]]+Vitorias_Table[[#This Row],[Receber Rodadas]]</f>
        <v>411</v>
      </c>
      <c r="H2" s="3">
        <v>216</v>
      </c>
      <c r="I2" s="3">
        <v>-4</v>
      </c>
      <c r="J2" s="3">
        <v>-10</v>
      </c>
      <c r="K2" s="2">
        <v>1</v>
      </c>
    </row>
    <row r="3" spans="1:11" x14ac:dyDescent="0.25">
      <c r="A3" s="2" t="s">
        <v>5</v>
      </c>
      <c r="B3" s="2">
        <v>7</v>
      </c>
      <c r="C3" s="9">
        <f>'2º'!C2</f>
        <v>121</v>
      </c>
      <c r="D3" s="2">
        <f>5*6</f>
        <v>30</v>
      </c>
      <c r="E3" s="2">
        <v>15</v>
      </c>
      <c r="F3" s="2">
        <v>160</v>
      </c>
      <c r="G3" s="2">
        <f>Vitorias_Table[[#This Row],[Receber Ranking]]+Vitorias_Table[[#This Row],[Receber Rodadas]]-Vitorias_Table[[#This Row],[Pagar]]</f>
        <v>145</v>
      </c>
      <c r="H3" s="3">
        <v>187</v>
      </c>
      <c r="I3" s="3">
        <v>-33</v>
      </c>
      <c r="J3" s="3">
        <v>-39</v>
      </c>
      <c r="K3" s="2">
        <v>2</v>
      </c>
    </row>
    <row r="4" spans="1:11" x14ac:dyDescent="0.25">
      <c r="A4" s="2" t="s">
        <v>8</v>
      </c>
      <c r="B4" s="2">
        <v>6</v>
      </c>
      <c r="C4" s="9">
        <f>Rodadas!D2</f>
        <v>-64</v>
      </c>
      <c r="D4" s="2">
        <f t="shared" ref="D4:D8" si="1">5*6</f>
        <v>30</v>
      </c>
      <c r="E4" s="2">
        <v>0</v>
      </c>
      <c r="F4" s="2">
        <v>0</v>
      </c>
      <c r="G4" s="2">
        <f>Vitorias_Table[[#This Row],[Receber Ranking]]+Vitorias_Table[[#This Row],[Receber Rodadas]]-Vitorias_Table[[#This Row],[Pagar]]</f>
        <v>-30</v>
      </c>
      <c r="H4" s="3">
        <v>162</v>
      </c>
      <c r="I4" s="3">
        <v>-58</v>
      </c>
      <c r="J4" s="3">
        <v>-64</v>
      </c>
      <c r="K4" s="2">
        <v>3</v>
      </c>
    </row>
    <row r="5" spans="1:11" x14ac:dyDescent="0.25">
      <c r="A5" s="2" t="s">
        <v>10</v>
      </c>
      <c r="B5" s="2">
        <v>6</v>
      </c>
      <c r="C5" s="9">
        <f>Rodadas!E2</f>
        <v>-64</v>
      </c>
      <c r="D5" s="2">
        <f t="shared" si="1"/>
        <v>30</v>
      </c>
      <c r="E5" s="2">
        <v>27</v>
      </c>
      <c r="F5" s="2">
        <v>0</v>
      </c>
      <c r="G5" s="2">
        <f>Vitorias_Table[[#This Row],[Receber Ranking]]+Vitorias_Table[[#This Row],[Receber Rodadas]]-Vitorias_Table[[#This Row],[Pagar]]</f>
        <v>-3</v>
      </c>
      <c r="H5" s="3">
        <v>162</v>
      </c>
      <c r="I5" s="3">
        <v>-58</v>
      </c>
      <c r="J5" s="3">
        <v>-64</v>
      </c>
      <c r="K5" s="2">
        <v>3</v>
      </c>
    </row>
    <row r="6" spans="1:11" x14ac:dyDescent="0.25">
      <c r="A6" s="2" t="s">
        <v>4</v>
      </c>
      <c r="B6" s="2">
        <v>5</v>
      </c>
      <c r="C6" s="9">
        <f>Rodadas!F2</f>
        <v>-93</v>
      </c>
      <c r="D6" s="2">
        <f t="shared" si="1"/>
        <v>30</v>
      </c>
      <c r="E6" s="2">
        <f>2*27</f>
        <v>54</v>
      </c>
      <c r="F6" s="2">
        <v>0</v>
      </c>
      <c r="G6" s="2">
        <f>Vitorias_Table[[#This Row],[Receber Ranking]]+Vitorias_Table[[#This Row],[Receber Rodadas]]-Vitorias_Table[[#This Row],[Pagar]]</f>
        <v>24</v>
      </c>
      <c r="H6" s="3">
        <v>133</v>
      </c>
      <c r="I6" s="3">
        <v>-87</v>
      </c>
      <c r="J6" s="3">
        <v>-93</v>
      </c>
      <c r="K6" s="2">
        <v>4</v>
      </c>
    </row>
    <row r="7" spans="1:11" x14ac:dyDescent="0.25">
      <c r="A7" s="2" t="s">
        <v>7</v>
      </c>
      <c r="B7" s="2">
        <v>4</v>
      </c>
      <c r="C7" s="9">
        <f>'3º'!G2</f>
        <v>-38</v>
      </c>
      <c r="D7" s="2">
        <f t="shared" si="1"/>
        <v>30</v>
      </c>
      <c r="E7" s="2">
        <v>0</v>
      </c>
      <c r="F7" s="2">
        <v>80</v>
      </c>
      <c r="G7" s="2">
        <f>Vitorias_Table[[#This Row],[Receber Ranking]]+Vitorias_Table[[#This Row],[Receber Rodadas]]-Vitorias_Table[[#This Row],[Pagar]]</f>
        <v>50</v>
      </c>
      <c r="H7" s="3">
        <v>108</v>
      </c>
      <c r="I7" s="3">
        <v>-112</v>
      </c>
      <c r="J7" s="3">
        <v>-118</v>
      </c>
      <c r="K7" s="2">
        <v>5</v>
      </c>
    </row>
    <row r="8" spans="1:11" x14ac:dyDescent="0.25">
      <c r="A8" s="2" t="s">
        <v>6</v>
      </c>
      <c r="B8" s="2">
        <v>1</v>
      </c>
      <c r="C8" s="9">
        <f>Rodadas!H2</f>
        <v>-199</v>
      </c>
      <c r="D8" s="2">
        <f t="shared" si="1"/>
        <v>30</v>
      </c>
      <c r="E8" s="2">
        <v>0</v>
      </c>
      <c r="F8" s="2">
        <v>0</v>
      </c>
      <c r="G8" s="2">
        <f>Vitorias_Table[[#This Row],[Receber Ranking]]+Vitorias_Table[[#This Row],[Receber Rodadas]]-Vitorias_Table[[#This Row],[Pagar]]</f>
        <v>-30</v>
      </c>
      <c r="H8" s="3">
        <v>27</v>
      </c>
      <c r="I8" s="3">
        <v>-193</v>
      </c>
      <c r="J8" s="3">
        <v>-199</v>
      </c>
      <c r="K8" s="2">
        <v>8</v>
      </c>
    </row>
    <row r="14" spans="1:11" x14ac:dyDescent="0.25">
      <c r="E14">
        <v>555</v>
      </c>
    </row>
    <row r="15" spans="1:11" x14ac:dyDescent="0.25">
      <c r="E15">
        <f>E14-G4-G5+D2</f>
        <v>630</v>
      </c>
      <c r="F15">
        <f>G2+G3+G6+G7</f>
        <v>630</v>
      </c>
    </row>
  </sheetData>
  <phoneticPr fontId="4" type="noConversion"/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"/>
  <sheetViews>
    <sheetView workbookViewId="0">
      <selection activeCell="H2" sqref="H2"/>
    </sheetView>
  </sheetViews>
  <sheetFormatPr defaultRowHeight="15" x14ac:dyDescent="0.25"/>
  <cols>
    <col min="1" max="1" width="8.42578125" customWidth="1"/>
    <col min="2" max="2" width="27.5703125" customWidth="1"/>
    <col min="3" max="3" width="37.140625" customWidth="1"/>
    <col min="4" max="4" width="18" customWidth="1"/>
    <col min="5" max="5" width="13.140625" customWidth="1"/>
    <col min="6" max="6" width="15.5703125" customWidth="1"/>
    <col min="7" max="7" width="21.5703125" customWidth="1"/>
    <col min="8" max="8" width="10.85546875" customWidth="1"/>
    <col min="9" max="9" width="14.42578125" customWidth="1"/>
  </cols>
  <sheetData>
    <row r="1" spans="1:9" x14ac:dyDescent="0.25">
      <c r="A1" s="2" t="s">
        <v>17</v>
      </c>
      <c r="B1" s="1" t="s">
        <v>9</v>
      </c>
      <c r="C1" s="1" t="s">
        <v>5</v>
      </c>
      <c r="D1" s="1" t="s">
        <v>8</v>
      </c>
      <c r="E1" s="1" t="s">
        <v>10</v>
      </c>
      <c r="F1" s="1" t="s">
        <v>4</v>
      </c>
      <c r="G1" s="1" t="s">
        <v>7</v>
      </c>
      <c r="H1" s="1" t="s">
        <v>6</v>
      </c>
      <c r="I1" s="1" t="s">
        <v>15</v>
      </c>
    </row>
    <row r="2" spans="1:9" x14ac:dyDescent="0.25">
      <c r="A2" s="1" t="s">
        <v>16</v>
      </c>
      <c r="B2" s="4">
        <v>-10</v>
      </c>
      <c r="C2" s="4">
        <v>-39</v>
      </c>
      <c r="D2" s="4">
        <v>-64</v>
      </c>
      <c r="E2" s="4">
        <v>-64</v>
      </c>
      <c r="F2" s="4">
        <v>-93</v>
      </c>
      <c r="G2" s="4">
        <v>-118</v>
      </c>
      <c r="H2" s="4">
        <v>-199</v>
      </c>
      <c r="I2" s="2">
        <v>0</v>
      </c>
    </row>
    <row r="3" spans="1:9" x14ac:dyDescent="0.25">
      <c r="A3" s="1" t="s">
        <v>16</v>
      </c>
      <c r="B3" s="5">
        <v>17</v>
      </c>
      <c r="C3" s="4">
        <v>-12</v>
      </c>
      <c r="D3" s="4">
        <v>-37</v>
      </c>
      <c r="E3" s="4">
        <v>-37</v>
      </c>
      <c r="F3" s="4">
        <v>-66</v>
      </c>
      <c r="G3" s="4">
        <v>-91</v>
      </c>
      <c r="H3" s="4">
        <v>-172</v>
      </c>
      <c r="I3" s="2">
        <v>1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"/>
  <sheetViews>
    <sheetView workbookViewId="0"/>
  </sheetViews>
  <sheetFormatPr defaultRowHeight="15" x14ac:dyDescent="0.25"/>
  <cols>
    <col min="1" max="1" width="8.42578125" customWidth="1"/>
    <col min="2" max="2" width="27.5703125" customWidth="1"/>
    <col min="3" max="3" width="37.140625" customWidth="1"/>
    <col min="4" max="4" width="18" customWidth="1"/>
    <col min="5" max="5" width="13.140625" customWidth="1"/>
    <col min="6" max="6" width="15.5703125" customWidth="1"/>
    <col min="7" max="7" width="21.5703125" customWidth="1"/>
    <col min="8" max="8" width="10.85546875" customWidth="1"/>
    <col min="9" max="9" width="14.42578125" customWidth="1"/>
  </cols>
  <sheetData>
    <row r="1" spans="1:9" x14ac:dyDescent="0.25">
      <c r="A1" s="2" t="s">
        <v>17</v>
      </c>
      <c r="B1" s="1" t="s">
        <v>9</v>
      </c>
      <c r="C1" s="1" t="s">
        <v>5</v>
      </c>
      <c r="D1" s="1" t="s">
        <v>8</v>
      </c>
      <c r="E1" s="1" t="s">
        <v>10</v>
      </c>
      <c r="F1" s="1" t="s">
        <v>4</v>
      </c>
      <c r="G1" s="1" t="s">
        <v>7</v>
      </c>
      <c r="H1" s="1" t="s">
        <v>6</v>
      </c>
      <c r="I1" s="1" t="s">
        <v>15</v>
      </c>
    </row>
    <row r="2" spans="1:9" x14ac:dyDescent="0.25">
      <c r="A2" s="1" t="s">
        <v>16</v>
      </c>
      <c r="B2" s="5">
        <v>70</v>
      </c>
      <c r="C2" s="5">
        <v>41</v>
      </c>
      <c r="D2" s="5">
        <v>16</v>
      </c>
      <c r="E2" s="5">
        <v>16</v>
      </c>
      <c r="F2" s="4">
        <v>-13</v>
      </c>
      <c r="G2" s="4">
        <v>-38</v>
      </c>
      <c r="H2" s="4">
        <v>-119</v>
      </c>
      <c r="I2" s="2">
        <v>0</v>
      </c>
    </row>
    <row r="3" spans="1:9" x14ac:dyDescent="0.25">
      <c r="A3" s="1" t="s">
        <v>16</v>
      </c>
      <c r="B3" s="5">
        <v>97</v>
      </c>
      <c r="C3" s="5">
        <v>68</v>
      </c>
      <c r="D3" s="5">
        <v>43</v>
      </c>
      <c r="E3" s="5">
        <v>43</v>
      </c>
      <c r="F3" s="5">
        <v>14</v>
      </c>
      <c r="G3" s="4">
        <v>-11</v>
      </c>
      <c r="H3" s="4">
        <v>-92</v>
      </c>
      <c r="I3" s="2">
        <v>1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"/>
  <sheetViews>
    <sheetView workbookViewId="0"/>
  </sheetViews>
  <sheetFormatPr defaultRowHeight="15" x14ac:dyDescent="0.25"/>
  <cols>
    <col min="1" max="1" width="8.42578125" customWidth="1"/>
    <col min="2" max="2" width="27.5703125" customWidth="1"/>
    <col min="3" max="3" width="37.140625" customWidth="1"/>
    <col min="4" max="4" width="18" customWidth="1"/>
    <col min="5" max="5" width="13.140625" customWidth="1"/>
    <col min="6" max="6" width="15.5703125" customWidth="1"/>
    <col min="7" max="7" width="21.5703125" customWidth="1"/>
    <col min="8" max="8" width="10.85546875" customWidth="1"/>
    <col min="9" max="9" width="14.42578125" customWidth="1"/>
  </cols>
  <sheetData>
    <row r="1" spans="1:9" x14ac:dyDescent="0.25">
      <c r="A1" s="2" t="s">
        <v>17</v>
      </c>
      <c r="B1" s="1" t="s">
        <v>9</v>
      </c>
      <c r="C1" s="1" t="s">
        <v>5</v>
      </c>
      <c r="D1" s="1" t="s">
        <v>8</v>
      </c>
      <c r="E1" s="1" t="s">
        <v>10</v>
      </c>
      <c r="F1" s="1" t="s">
        <v>4</v>
      </c>
      <c r="G1" s="1" t="s">
        <v>7</v>
      </c>
      <c r="H1" s="1" t="s">
        <v>6</v>
      </c>
      <c r="I1" s="1" t="s">
        <v>15</v>
      </c>
    </row>
    <row r="2" spans="1:9" x14ac:dyDescent="0.25">
      <c r="A2" s="1" t="s">
        <v>16</v>
      </c>
      <c r="B2" s="5">
        <v>150</v>
      </c>
      <c r="C2" s="5">
        <v>121</v>
      </c>
      <c r="D2" s="5">
        <v>96</v>
      </c>
      <c r="E2" s="5">
        <v>96</v>
      </c>
      <c r="F2" s="5">
        <v>67</v>
      </c>
      <c r="G2" s="5">
        <v>42</v>
      </c>
      <c r="H2" s="4">
        <v>-39</v>
      </c>
      <c r="I2" s="2">
        <v>0</v>
      </c>
    </row>
    <row r="3" spans="1:9" x14ac:dyDescent="0.25">
      <c r="A3" s="1" t="s">
        <v>16</v>
      </c>
      <c r="B3" s="5">
        <v>177</v>
      </c>
      <c r="C3" s="5">
        <v>148</v>
      </c>
      <c r="D3" s="5">
        <v>123</v>
      </c>
      <c r="E3" s="5">
        <v>123</v>
      </c>
      <c r="F3" s="5">
        <v>94</v>
      </c>
      <c r="G3" s="5">
        <v>69</v>
      </c>
      <c r="H3" s="4">
        <v>-12</v>
      </c>
      <c r="I3" s="2">
        <v>1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3"/>
  <sheetViews>
    <sheetView workbookViewId="0"/>
  </sheetViews>
  <sheetFormatPr defaultRowHeight="15" x14ac:dyDescent="0.25"/>
  <cols>
    <col min="1" max="1" width="8.42578125" customWidth="1"/>
    <col min="2" max="2" width="27.5703125" customWidth="1"/>
    <col min="3" max="3" width="37.140625" customWidth="1"/>
    <col min="4" max="4" width="18" customWidth="1"/>
    <col min="5" max="5" width="13.140625" customWidth="1"/>
    <col min="6" max="6" width="15.5703125" customWidth="1"/>
    <col min="7" max="7" width="21.5703125" customWidth="1"/>
    <col min="8" max="8" width="10.85546875" customWidth="1"/>
    <col min="9" max="9" width="14.42578125" customWidth="1"/>
  </cols>
  <sheetData>
    <row r="1" spans="1:9" x14ac:dyDescent="0.25">
      <c r="A1" s="2" t="s">
        <v>17</v>
      </c>
      <c r="B1" s="1" t="s">
        <v>9</v>
      </c>
      <c r="C1" s="1" t="s">
        <v>5</v>
      </c>
      <c r="D1" s="1" t="s">
        <v>8</v>
      </c>
      <c r="E1" s="1" t="s">
        <v>10</v>
      </c>
      <c r="F1" s="1" t="s">
        <v>4</v>
      </c>
      <c r="G1" s="1" t="s">
        <v>7</v>
      </c>
      <c r="H1" s="1" t="s">
        <v>6</v>
      </c>
      <c r="I1" s="1" t="s">
        <v>15</v>
      </c>
    </row>
    <row r="2" spans="1:9" x14ac:dyDescent="0.25">
      <c r="A2" s="1" t="s">
        <v>16</v>
      </c>
      <c r="B2" s="5">
        <v>320</v>
      </c>
      <c r="C2" s="5">
        <v>291</v>
      </c>
      <c r="D2" s="5">
        <v>266</v>
      </c>
      <c r="E2" s="5">
        <v>266</v>
      </c>
      <c r="F2" s="5">
        <v>237</v>
      </c>
      <c r="G2" s="5">
        <v>212</v>
      </c>
      <c r="H2" s="5">
        <v>131</v>
      </c>
      <c r="I2" s="2">
        <v>0</v>
      </c>
    </row>
    <row r="3" spans="1:9" x14ac:dyDescent="0.25">
      <c r="A3" s="1" t="s">
        <v>16</v>
      </c>
      <c r="B3" s="5">
        <v>347</v>
      </c>
      <c r="C3" s="5">
        <v>318</v>
      </c>
      <c r="D3" s="5">
        <v>293</v>
      </c>
      <c r="E3" s="5">
        <v>293</v>
      </c>
      <c r="F3" s="5">
        <v>264</v>
      </c>
      <c r="G3" s="5">
        <v>239</v>
      </c>
      <c r="H3" s="5">
        <v>158</v>
      </c>
      <c r="I3" s="2">
        <v>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Campeoes</vt:lpstr>
      <vt:lpstr>Vitorias</vt:lpstr>
      <vt:lpstr>Rodadas</vt:lpstr>
      <vt:lpstr>3º</vt:lpstr>
      <vt:lpstr>2º</vt:lpstr>
      <vt:lpstr>1º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Felipe Gotelip Delgado</cp:lastModifiedBy>
  <dcterms:created xsi:type="dcterms:W3CDTF">2025-12-08T11:46:25Z</dcterms:created>
  <dcterms:modified xsi:type="dcterms:W3CDTF">2025-12-08T12:34:43Z</dcterms:modified>
</cp:coreProperties>
</file>